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irot\Desktop\iroiro\unity\DxLib\2026夏制作資料\"/>
    </mc:Choice>
  </mc:AlternateContent>
  <xr:revisionPtr revIDLastSave="0" documentId="13_ncr:1_{3A28B3D2-BCC9-41CF-A3FA-FBC7214021A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プロト" sheetId="3" r:id="rId1"/>
    <sheet name="アルファ" sheetId="1" r:id="rId2"/>
    <sheet name="Sheet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3" i="3"/>
  <c r="I2" i="3"/>
  <c r="H3" i="1"/>
  <c r="H6" i="1"/>
  <c r="K13" i="1" s="1"/>
  <c r="H15" i="1"/>
  <c r="I15" i="1" s="1"/>
  <c r="H14" i="1"/>
  <c r="I14" i="1" s="1"/>
  <c r="H13" i="1"/>
  <c r="I13" i="1" s="1"/>
  <c r="H5" i="1"/>
  <c r="H2" i="1"/>
  <c r="L4" i="3" l="1"/>
  <c r="M4" i="3" s="1"/>
  <c r="I4" i="3"/>
  <c r="K4" i="3" s="1"/>
  <c r="L13" i="3"/>
  <c r="M13" i="3" s="1"/>
  <c r="L14" i="3"/>
  <c r="M14" i="3" s="1"/>
  <c r="L15" i="3"/>
  <c r="M15" i="3" s="1"/>
  <c r="J13" i="3"/>
  <c r="K13" i="3" s="1"/>
  <c r="J14" i="3"/>
  <c r="K14" i="3" s="1"/>
  <c r="J15" i="3"/>
  <c r="K15" i="3" s="1"/>
  <c r="K14" i="1"/>
  <c r="L14" i="1" s="1"/>
  <c r="K15" i="1"/>
  <c r="L15" i="1" s="1"/>
  <c r="J13" i="1"/>
  <c r="L13" i="1"/>
  <c r="K4" i="1"/>
  <c r="L4" i="1" s="1"/>
  <c r="H4" i="1"/>
  <c r="J4" i="1" s="1"/>
  <c r="J15" i="1"/>
  <c r="J14" i="1"/>
</calcChain>
</file>

<file path=xl/sharedStrings.xml><?xml version="1.0" encoding="utf-8"?>
<sst xmlns="http://schemas.openxmlformats.org/spreadsheetml/2006/main" count="221" uniqueCount="112">
  <si>
    <t>1コスト:3時間 (1日は基本2コスト)</t>
  </si>
  <si>
    <t>アルファ</t>
    <phoneticPr fontId="1"/>
  </si>
  <si>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</si>
  <si>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</si>
  <si>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</si>
  <si>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</si>
  <si>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・クラス設計</t>
    <rPh sb="4" eb="6">
      <t>セッケイ</t>
    </rPh>
    <phoneticPr fontId="1"/>
  </si>
  <si>
    <t>消化コスト</t>
    <rPh sb="0" eb="2">
      <t>ショウカ</t>
    </rPh>
    <phoneticPr fontId="1"/>
  </si>
  <si>
    <t>土日含む日数</t>
    <rPh sb="0" eb="3">
      <t>ドニチフク</t>
    </rPh>
    <rPh sb="4" eb="6">
      <t>ニッスウ</t>
    </rPh>
    <phoneticPr fontId="1"/>
  </si>
  <si>
    <t>消費コスト / 土日含む日数</t>
    <rPh sb="0" eb="2">
      <t>ショウヒ</t>
    </rPh>
    <rPh sb="8" eb="11">
      <t>ドニチフク</t>
    </rPh>
    <rPh sb="12" eb="14">
      <t>ニッスウ</t>
    </rPh>
    <phoneticPr fontId="1"/>
  </si>
  <si>
    <t>・ライブラリ設計</t>
    <rPh sb="6" eb="8">
      <t>セッケイ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</si>
  <si>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</si>
  <si>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消費コスト / 日数</t>
    <rPh sb="0" eb="2">
      <t>ショウヒ</t>
    </rPh>
    <rPh sb="8" eb="10">
      <t>ニッスウ</t>
    </rPh>
    <phoneticPr fontId="1"/>
  </si>
  <si>
    <t>・アルファ素材集め</t>
    <rPh sb="5" eb="7">
      <t>ソザイ</t>
    </rPh>
    <rPh sb="7" eb="8">
      <t>アツ</t>
    </rPh>
    <phoneticPr fontId="1"/>
  </si>
  <si>
    <t>開始日</t>
    <rPh sb="0" eb="3">
      <t>カイシビ</t>
    </rPh>
    <phoneticPr fontId="1"/>
  </si>
  <si>
    <t>　ー　モデル</t>
    <phoneticPr fontId="1"/>
  </si>
  <si>
    <t>今日の日付</t>
    <rPh sb="0" eb="2">
      <t>キョウ</t>
    </rPh>
    <rPh sb="3" eb="5">
      <t>ヒヅケ</t>
    </rPh>
    <phoneticPr fontId="1"/>
  </si>
  <si>
    <t>　ー　モーション</t>
    <phoneticPr fontId="1"/>
  </si>
  <si>
    <t>　ー　UI素材</t>
    <rPh sb="5" eb="7">
      <t>ソザイ</t>
    </rPh>
    <phoneticPr fontId="1"/>
  </si>
  <si>
    <t>　ー　SE</t>
    <phoneticPr fontId="1"/>
  </si>
  <si>
    <t>　ー　BGM</t>
    <phoneticPr fontId="1"/>
  </si>
  <si>
    <t>　ー　マップ素材</t>
    <rPh sb="6" eb="8">
      <t>ソザイ</t>
    </rPh>
    <phoneticPr fontId="1"/>
  </si>
  <si>
    <t>　ー　エフェクト</t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</si>
  <si>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</si>
  <si>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</si>
  <si>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残り日数(土日含む)</t>
    <rPh sb="0" eb="1">
      <t>ノコ</t>
    </rPh>
    <rPh sb="2" eb="4">
      <t>ニッスウ</t>
    </rPh>
    <rPh sb="5" eb="8">
      <t>ドニチフク</t>
    </rPh>
    <phoneticPr fontId="1"/>
  </si>
  <si>
    <t>土日込みの消費コスト</t>
    <rPh sb="0" eb="2">
      <t>ドニチ</t>
    </rPh>
    <rPh sb="2" eb="3">
      <t>コ</t>
    </rPh>
    <rPh sb="5" eb="7">
      <t>ショウヒ</t>
    </rPh>
    <phoneticPr fontId="1"/>
  </si>
  <si>
    <t>・当たり判定</t>
    <rPh sb="1" eb="2">
      <t>ア</t>
    </rPh>
    <rPh sb="4" eb="6">
      <t>ハンテイ</t>
    </rPh>
    <phoneticPr fontId="1"/>
  </si>
  <si>
    <t>理想</t>
    <rPh sb="0" eb="2">
      <t>リソウ</t>
    </rPh>
    <phoneticPr fontId="1"/>
  </si>
  <si>
    <t>　－　球と球の当たり判定</t>
    <rPh sb="3" eb="4">
      <t>キュウ</t>
    </rPh>
    <rPh sb="5" eb="6">
      <t>キュウ</t>
    </rPh>
    <rPh sb="7" eb="8">
      <t>ア</t>
    </rPh>
    <rPh sb="10" eb="12">
      <t>ハンテイ</t>
    </rPh>
    <phoneticPr fontId="1"/>
  </si>
  <si>
    <t>デッドライン</t>
    <phoneticPr fontId="1"/>
  </si>
  <si>
    <t>　ー　球とカプセルの当たり判定</t>
    <rPh sb="3" eb="4">
      <t>キュウ</t>
    </rPh>
    <rPh sb="10" eb="11">
      <t>ア</t>
    </rPh>
    <rPh sb="13" eb="15">
      <t>ハンテイ</t>
    </rPh>
    <phoneticPr fontId="1"/>
  </si>
  <si>
    <t>真実のデッドライン</t>
    <rPh sb="0" eb="2">
      <t>シンジツ</t>
    </rPh>
    <phoneticPr fontId="1"/>
  </si>
  <si>
    <t>　ー　カプセルとカプセルの当たり判定</t>
    <rPh sb="13" eb="14">
      <t>ア</t>
    </rPh>
    <rPh sb="16" eb="18">
      <t>ハンテイ</t>
    </rPh>
    <phoneticPr fontId="1"/>
  </si>
  <si>
    <t>　ー　カプセルとマップの当たり判定</t>
    <rPh sb="12" eb="13">
      <t>ア</t>
    </rPh>
    <rPh sb="15" eb="17">
      <t>ハンテイ</t>
    </rPh>
    <phoneticPr fontId="1"/>
  </si>
  <si>
    <t>　ー　物理挙動</t>
    <rPh sb="3" eb="7">
      <t>ブツリキョドウ</t>
    </rPh>
    <phoneticPr fontId="1"/>
  </si>
  <si>
    <t>・プレイヤー</t>
    <phoneticPr fontId="1"/>
  </si>
  <si>
    <t>　―　ステータス</t>
    <phoneticPr fontId="1"/>
  </si>
  <si>
    <t>　―　待機</t>
    <rPh sb="3" eb="5">
      <t>タイキ</t>
    </rPh>
    <phoneticPr fontId="1"/>
  </si>
  <si>
    <t>　―　移動</t>
    <phoneticPr fontId="1"/>
  </si>
  <si>
    <t>　―　ジャンプ</t>
    <phoneticPr fontId="1"/>
  </si>
  <si>
    <t>　―　ダッシュ</t>
    <phoneticPr fontId="1"/>
  </si>
  <si>
    <t>　―　ステップ</t>
    <phoneticPr fontId="1"/>
  </si>
  <si>
    <t>　―　ガード</t>
    <phoneticPr fontId="1"/>
  </si>
  <si>
    <t>　―　空中</t>
    <rPh sb="3" eb="5">
      <t>クウチュウ</t>
    </rPh>
    <phoneticPr fontId="1"/>
  </si>
  <si>
    <t>　－　格闘攻撃</t>
    <phoneticPr fontId="1"/>
  </si>
  <si>
    <t>　－　気弾攻撃</t>
    <rPh sb="3" eb="4">
      <t>キ</t>
    </rPh>
    <rPh sb="4" eb="5">
      <t>ダン</t>
    </rPh>
    <rPh sb="5" eb="7">
      <t>コウゲキ</t>
    </rPh>
    <phoneticPr fontId="1"/>
  </si>
  <si>
    <t>　－　コンボ</t>
    <phoneticPr fontId="1"/>
  </si>
  <si>
    <t>　－　被弾</t>
    <rPh sb="3" eb="5">
      <t>ヒダン</t>
    </rPh>
    <phoneticPr fontId="1"/>
  </si>
  <si>
    <t>　－　必殺</t>
    <rPh sb="3" eb="5">
      <t>ヒッサツ</t>
    </rPh>
    <phoneticPr fontId="1"/>
  </si>
  <si>
    <t>　－　気力ため</t>
    <rPh sb="3" eb="5">
      <t>キリョク</t>
    </rPh>
    <phoneticPr fontId="1"/>
  </si>
  <si>
    <t>　－　死亡</t>
    <rPh sb="3" eb="5">
      <t>シボウ</t>
    </rPh>
    <phoneticPr fontId="1"/>
  </si>
  <si>
    <t>　－　競り合い</t>
    <rPh sb="3" eb="4">
      <t>セ</t>
    </rPh>
    <rPh sb="5" eb="6">
      <t>ア</t>
    </rPh>
    <phoneticPr fontId="1"/>
  </si>
  <si>
    <t>　－　アニメーション実装</t>
    <rPh sb="10" eb="12">
      <t>ジッソウ</t>
    </rPh>
    <phoneticPr fontId="1"/>
  </si>
  <si>
    <t>・敵</t>
    <rPh sb="1" eb="2">
      <t>テキ</t>
    </rPh>
    <phoneticPr fontId="1"/>
  </si>
  <si>
    <t>　―　AI</t>
    <phoneticPr fontId="1"/>
  </si>
  <si>
    <t>・キャラクター</t>
    <phoneticPr fontId="1"/>
  </si>
  <si>
    <t>　―　キャラ１</t>
    <phoneticPr fontId="1"/>
  </si>
  <si>
    <t>　―　キャラ２</t>
    <phoneticPr fontId="1"/>
  </si>
  <si>
    <t>　―　キャラ３</t>
    <phoneticPr fontId="1"/>
  </si>
  <si>
    <t>・アニメーション処理</t>
    <rPh sb="8" eb="10">
      <t>ショリ</t>
    </rPh>
    <phoneticPr fontId="1"/>
  </si>
  <si>
    <t>　ー　再生</t>
    <rPh sb="3" eb="5">
      <t>サイセイ</t>
    </rPh>
    <phoneticPr fontId="1"/>
  </si>
  <si>
    <t>　ー　ブレンド有り再生</t>
    <rPh sb="7" eb="8">
      <t>アリ</t>
    </rPh>
    <rPh sb="9" eb="11">
      <t>サイセイ</t>
    </rPh>
    <phoneticPr fontId="1"/>
  </si>
  <si>
    <t>　ー　ブレンド有り切り替え</t>
    <rPh sb="7" eb="8">
      <t>アリ</t>
    </rPh>
    <rPh sb="9" eb="10">
      <t>キ</t>
    </rPh>
    <rPh sb="11" eb="12">
      <t>カ</t>
    </rPh>
    <phoneticPr fontId="1"/>
  </si>
  <si>
    <t>　ー　再生速度調整</t>
    <rPh sb="3" eb="5">
      <t>サイセイ</t>
    </rPh>
    <rPh sb="5" eb="7">
      <t>ソクド</t>
    </rPh>
    <rPh sb="7" eb="9">
      <t>チョウセイ</t>
    </rPh>
    <phoneticPr fontId="1"/>
  </si>
  <si>
    <t>・カメラ</t>
    <phoneticPr fontId="1"/>
  </si>
  <si>
    <t>　ー　移動</t>
  </si>
  <si>
    <t>　ー　回転</t>
  </si>
  <si>
    <t>　ー　イージング</t>
    <phoneticPr fontId="1"/>
  </si>
  <si>
    <t>　ー　追随</t>
  </si>
  <si>
    <t>　ー　必殺技演出</t>
    <rPh sb="3" eb="8">
      <t>ヒッサツワザエンシュツ</t>
    </rPh>
    <phoneticPr fontId="1"/>
  </si>
  <si>
    <t>　ー　競り合い演出</t>
    <rPh sb="3" eb="4">
      <t>セ</t>
    </rPh>
    <rPh sb="5" eb="6">
      <t>ア</t>
    </rPh>
    <rPh sb="7" eb="9">
      <t>エンシュツ</t>
    </rPh>
    <phoneticPr fontId="1"/>
  </si>
  <si>
    <t>　ー　勝利敗北演出</t>
    <rPh sb="3" eb="9">
      <t>ショウリハイボクエンシュツ</t>
    </rPh>
    <phoneticPr fontId="1"/>
  </si>
  <si>
    <t>・マップ</t>
    <phoneticPr fontId="1"/>
  </si>
  <si>
    <t>　－　マップ設計</t>
  </si>
  <si>
    <t>　ー　配置データの保存</t>
  </si>
  <si>
    <t>　ー　配置データの読み込み</t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</si>
  <si>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</si>
  <si>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</si>
  <si>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</si>
  <si>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</si>
  <si>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音量調整の処理</t>
  </si>
  <si>
    <t>　ー　音実装</t>
  </si>
  <si>
    <t>・UI</t>
    <phoneticPr fontId="1"/>
  </si>
  <si>
    <t>　ー　タイトル画面</t>
    <phoneticPr fontId="1"/>
  </si>
  <si>
    <t>　ー　モードセレクト画面</t>
    <rPh sb="10" eb="12">
      <t>ガメン</t>
    </rPh>
    <phoneticPr fontId="1"/>
  </si>
  <si>
    <t>　ー　キャラセレクト画面</t>
    <rPh sb="10" eb="12">
      <t>ガメン</t>
    </rPh>
    <phoneticPr fontId="1"/>
  </si>
  <si>
    <t>　ー　バトル画面</t>
    <rPh sb="6" eb="8">
      <t>ガメン</t>
    </rPh>
    <phoneticPr fontId="1"/>
  </si>
  <si>
    <t>　ー　オプション画面</t>
    <phoneticPr fontId="1"/>
  </si>
  <si>
    <t>・UX</t>
    <phoneticPr fontId="1"/>
  </si>
  <si>
    <t>　ー　カーソル移動</t>
  </si>
  <si>
    <t>　ー　決定処理</t>
  </si>
  <si>
    <t>　ー　画面遷移</t>
  </si>
  <si>
    <t>　ー　プレイヤー操作</t>
  </si>
  <si>
    <t>　ー　カメラ操作</t>
  </si>
  <si>
    <t>・エフェクト</t>
  </si>
  <si>
    <t>　ー　エフェクト再生</t>
  </si>
  <si>
    <t>　ー　エフェクト停止</t>
  </si>
  <si>
    <t>　ー　座標回転と拡大</t>
  </si>
  <si>
    <t>　ー　エフェクト実装</t>
  </si>
  <si>
    <t>・ビルドテスト</t>
    <phoneticPr fontId="1"/>
  </si>
  <si>
    <t>プロト</t>
    <phoneticPr fontId="1"/>
  </si>
  <si>
    <t>・敵種類</t>
    <rPh sb="1" eb="2">
      <t>テキ</t>
    </rPh>
    <rPh sb="2" eb="4">
      <t>シュルイ</t>
    </rPh>
    <phoneticPr fontId="1"/>
  </si>
  <si>
    <t>　―　敵１</t>
    <rPh sb="3" eb="4">
      <t>テキ</t>
    </rPh>
    <phoneticPr fontId="1"/>
  </si>
  <si>
    <t>　―　敵２</t>
    <rPh sb="3" eb="4">
      <t>テキ</t>
    </rPh>
    <phoneticPr fontId="1"/>
  </si>
  <si>
    <t>　―　敵３</t>
    <rPh sb="3" eb="4">
      <t>テキ</t>
    </rPh>
    <phoneticPr fontId="1"/>
  </si>
  <si>
    <t>　ー　攻撃</t>
    <rPh sb="3" eb="5">
      <t>コウゲキ</t>
    </rPh>
    <phoneticPr fontId="1"/>
  </si>
  <si>
    <t>　　ー　マジックウォール</t>
    <phoneticPr fontId="1"/>
  </si>
  <si>
    <t>　　ー　マジックショット</t>
    <phoneticPr fontId="1"/>
  </si>
  <si>
    <t>　　ー　マジックミサイル</t>
    <phoneticPr fontId="1"/>
  </si>
  <si>
    <t>アルファ、ベータ</t>
    <phoneticPr fontId="1"/>
  </si>
  <si>
    <t>完了</t>
    <rPh sb="0" eb="2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</si>
</sst>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56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4" borderId="1" xfId="0" applyFill="1" applyBorder="1"/>
    <xf numFmtId="0" fontId="2" fillId="2" borderId="1" xfId="0" applyFont="1" applyFill="1" applyBorder="1"/>
    <xf numFmtId="0" fontId="2" fillId="7" borderId="1" xfId="0" applyFont="1" applyFill="1" applyBorder="1"/>
    <xf numFmtId="0" fontId="2" fillId="3" borderId="1" xfId="0" applyFont="1" applyFill="1" applyBorder="1"/>
    <xf numFmtId="0" fontId="0" fillId="9" borderId="1" xfId="0" applyFill="1" applyBorder="1"/>
    <xf numFmtId="0" fontId="0" fillId="0" borderId="1" xfId="0" applyBorder="1"/>
    <xf numFmtId="0" fontId="0" fillId="12" borderId="1" xfId="0" applyFill="1" applyBorder="1"/>
    <xf numFmtId="0" fontId="0" fillId="3" borderId="1" xfId="0" applyFill="1" applyBorder="1"/>
    <xf numFmtId="0" fontId="3" fillId="12" borderId="1" xfId="0" applyFont="1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5" borderId="1" xfId="0" applyFill="1" applyBorder="1"/>
    <xf numFmtId="0" fontId="0" fillId="7" borderId="2" xfId="0" applyFill="1" applyBorder="1"/>
    <xf numFmtId="0" fontId="0" fillId="0" borderId="3" xfId="0" applyBorder="1"/>
    <xf numFmtId="0" fontId="2" fillId="4" borderId="1" xfId="0" applyFont="1" applyFill="1" applyBorder="1"/>
    <xf numFmtId="0" fontId="0" fillId="0" borderId="4" xfId="0" applyBorder="1"/>
    <xf numFmtId="0" fontId="3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5BFB-B623-472B-A5E7-F694BDE0521A}">
  <dimension ref="A1:M83"/>
  <sheetViews>
    <sheetView tabSelected="1" zoomScaleNormal="100" workbookViewId="0">
      <selection activeCell="H25" sqref="H25"/>
    </sheetView>
  </sheetViews>
  <sheetFormatPr defaultRowHeight="18.75"/>
  <cols>
    <col min="1" max="1" width="9.25" customWidth="1"/>
    <col min="2" max="2" width="37.75" bestFit="1" customWidth="1"/>
    <col min="3" max="3" width="12" customWidth="1"/>
    <col min="4" max="4" width="12.625" customWidth="1"/>
    <col min="5" max="6" width="21" bestFit="1" customWidth="1"/>
    <col min="7" max="7" width="14.625" customWidth="1"/>
    <col min="8" max="8" width="21.375" customWidth="1"/>
    <col min="9" max="9" width="18.875" bestFit="1" customWidth="1"/>
    <col min="10" max="10" width="21.375" bestFit="1" customWidth="1"/>
    <col min="11" max="11" width="17.75" customWidth="1"/>
    <col min="12" max="12" width="19.25" customWidth="1"/>
    <col min="13" max="13" width="24" customWidth="1"/>
  </cols>
  <sheetData>
    <row r="1" spans="1:13">
      <c r="A1" t="s">
        <v>0</v>
      </c>
    </row>
    <row r="2" spans="1:13">
      <c r="B2" s="21" t="s">
        <v>101</v>
      </c>
      <c r="C2" s="5" t="s">
        <v>2</v>
      </c>
      <c r="D2" s="6" t="s">
        <v>3</v>
      </c>
      <c r="E2" s="7" t="s">
        <v>4</v>
      </c>
      <c r="H2" s="13" t="s">
        <v>5</v>
      </c>
      <c r="I2">
        <f>SUM(C3:C63)</f>
        <v>112</v>
      </c>
    </row>
    <row r="3" spans="1:13">
      <c r="B3" s="14" t="s">
        <v>6</v>
      </c>
      <c r="C3" s="14">
        <v>3</v>
      </c>
      <c r="D3" s="14"/>
      <c r="E3" s="14" t="s">
        <v>111</v>
      </c>
      <c r="H3" s="14" t="s">
        <v>7</v>
      </c>
      <c r="I3">
        <f>SUMIF(E3:E63,"完了",C3:C63)</f>
        <v>34</v>
      </c>
      <c r="L3" t="s">
        <v>8</v>
      </c>
      <c r="M3" t="s">
        <v>9</v>
      </c>
    </row>
    <row r="4" spans="1:13">
      <c r="B4" s="14" t="s">
        <v>10</v>
      </c>
      <c r="C4" s="14">
        <v>3</v>
      </c>
      <c r="D4" s="14"/>
      <c r="E4" s="14" t="s">
        <v>111</v>
      </c>
      <c r="H4" s="15" t="s">
        <v>11</v>
      </c>
      <c r="I4" s="2">
        <f ca="1">NETWORKDAYS(I5,I6)</f>
        <v>8</v>
      </c>
      <c r="J4" t="s">
        <v>12</v>
      </c>
      <c r="K4" s="3">
        <f ca="1" xml:space="preserve"> I3 / I4</f>
        <v>4.25</v>
      </c>
      <c r="L4" s="2">
        <f ca="1">_xlfn.DAYS(I6,I5)</f>
        <v>11</v>
      </c>
      <c r="M4" s="3">
        <f ca="1">I3/L4</f>
        <v>3.0909090909090908</v>
      </c>
    </row>
    <row r="5" spans="1:13">
      <c r="B5" s="14" t="s">
        <v>27</v>
      </c>
      <c r="C5" s="14"/>
      <c r="D5" s="14"/>
      <c r="E5" s="14"/>
      <c r="H5" s="16" t="s">
        <v>14</v>
      </c>
      <c r="I5" s="1">
        <v>46235</v>
      </c>
    </row>
    <row r="6" spans="1:13">
      <c r="B6" s="9" t="s">
        <v>29</v>
      </c>
      <c r="C6" s="9">
        <v>1</v>
      </c>
      <c r="D6" s="9"/>
      <c r="E6" s="9" t="s">
        <v>111</v>
      </c>
      <c r="H6" s="17" t="s">
        <v>16</v>
      </c>
      <c r="I6" s="1">
        <f ca="1">TODAY()</f>
        <v>46246</v>
      </c>
    </row>
    <row r="7" spans="1:13">
      <c r="B7" s="9" t="s">
        <v>31</v>
      </c>
      <c r="C7" s="9">
        <v>1</v>
      </c>
      <c r="D7" s="9"/>
      <c r="E7" s="9" t="s">
        <v>111</v>
      </c>
    </row>
    <row r="8" spans="1:13">
      <c r="B8" s="9" t="s">
        <v>33</v>
      </c>
      <c r="C8" s="9">
        <v>1</v>
      </c>
      <c r="D8" s="9"/>
      <c r="E8" s="9" t="s">
        <v>111</v>
      </c>
    </row>
    <row r="9" spans="1:13">
      <c r="B9" s="9" t="s">
        <v>34</v>
      </c>
      <c r="C9" s="9">
        <v>3</v>
      </c>
      <c r="D9" s="9"/>
      <c r="E9" s="9"/>
    </row>
    <row r="10" spans="1:13">
      <c r="B10" s="9" t="s">
        <v>35</v>
      </c>
      <c r="C10" s="9">
        <v>2</v>
      </c>
      <c r="D10" s="9"/>
      <c r="E10" s="9"/>
    </row>
    <row r="11" spans="1:13">
      <c r="B11" s="14" t="s">
        <v>36</v>
      </c>
      <c r="C11" s="14"/>
      <c r="D11" s="14"/>
      <c r="E11" s="14"/>
    </row>
    <row r="12" spans="1:13">
      <c r="B12" s="9" t="s">
        <v>37</v>
      </c>
      <c r="C12" s="9">
        <v>1</v>
      </c>
      <c r="D12" s="9"/>
      <c r="E12" s="9"/>
      <c r="J12" t="s">
        <v>23</v>
      </c>
      <c r="K12" t="s">
        <v>24</v>
      </c>
      <c r="L12" t="s">
        <v>25</v>
      </c>
      <c r="M12" t="s">
        <v>26</v>
      </c>
    </row>
    <row r="13" spans="1:13">
      <c r="B13" s="9" t="s">
        <v>38</v>
      </c>
      <c r="C13" s="9">
        <v>1</v>
      </c>
      <c r="D13" s="9"/>
      <c r="E13" s="9" t="s">
        <v>111</v>
      </c>
      <c r="H13" s="13" t="s">
        <v>28</v>
      </c>
      <c r="I13" s="1">
        <v>46258</v>
      </c>
      <c r="J13" s="2">
        <f ca="1">NETWORKDAYS(TODAY(),I13)</f>
        <v>9</v>
      </c>
      <c r="K13" s="3">
        <f ca="1">($I$2 - $I$3) / J13</f>
        <v>8.6666666666666661</v>
      </c>
      <c r="L13">
        <f ca="1">_xlfn.DAYS(I13,$I$6)</f>
        <v>12</v>
      </c>
      <c r="M13" s="3">
        <f ca="1">($I$2 - $I$3) / L13</f>
        <v>6.5</v>
      </c>
    </row>
    <row r="14" spans="1:13">
      <c r="B14" s="9" t="s">
        <v>39</v>
      </c>
      <c r="C14" s="9">
        <v>2</v>
      </c>
      <c r="D14" s="9"/>
      <c r="E14" s="9" t="s">
        <v>111</v>
      </c>
      <c r="H14" s="18" t="s">
        <v>30</v>
      </c>
      <c r="I14" s="1">
        <v>46261</v>
      </c>
      <c r="J14" s="2">
        <f t="shared" ref="J14:J15" ca="1" si="0">NETWORKDAYS(TODAY(),I14)</f>
        <v>12</v>
      </c>
      <c r="K14" s="3">
        <f ca="1">($I$2 - $I$3) / J14</f>
        <v>6.5</v>
      </c>
      <c r="L14">
        <f ca="1">_xlfn.DAYS(I14,$I$6)</f>
        <v>15</v>
      </c>
      <c r="M14" s="3">
        <f ca="1">($I$2 - $I$3) / L14</f>
        <v>5.2</v>
      </c>
    </row>
    <row r="15" spans="1:13">
      <c r="B15" s="9" t="s">
        <v>42</v>
      </c>
      <c r="C15" s="9">
        <v>2</v>
      </c>
      <c r="D15" s="9"/>
      <c r="E15" s="9" t="s">
        <v>111</v>
      </c>
      <c r="H15" s="19" t="s">
        <v>32</v>
      </c>
      <c r="I15" s="1">
        <v>46265</v>
      </c>
      <c r="J15" s="2">
        <f t="shared" ca="1" si="0"/>
        <v>14</v>
      </c>
      <c r="K15" s="3">
        <f ca="1">($I$2 - $I$3) / J15</f>
        <v>5.5714285714285712</v>
      </c>
      <c r="L15">
        <f ca="1">_xlfn.DAYS(I15,$I$6)</f>
        <v>19</v>
      </c>
      <c r="M15" s="3">
        <f ca="1">($I$2 - $I$3) / L15</f>
        <v>4.1052631578947372</v>
      </c>
    </row>
    <row r="16" spans="1:13">
      <c r="B16" s="15" t="s">
        <v>106</v>
      </c>
      <c r="C16" s="15"/>
      <c r="D16" s="15"/>
      <c r="E16" s="15"/>
      <c r="H16" s="20"/>
      <c r="I16" s="1"/>
      <c r="J16" s="2"/>
      <c r="K16" s="3"/>
      <c r="M16" s="3"/>
    </row>
    <row r="17" spans="2:5">
      <c r="B17" s="9" t="s">
        <v>107</v>
      </c>
      <c r="C17" s="9">
        <v>3</v>
      </c>
      <c r="D17" s="9"/>
      <c r="E17" s="9"/>
    </row>
    <row r="18" spans="2:5">
      <c r="B18" s="9" t="s">
        <v>108</v>
      </c>
      <c r="C18" s="9">
        <v>3</v>
      </c>
      <c r="D18" s="9"/>
      <c r="E18" s="9" t="s">
        <v>111</v>
      </c>
    </row>
    <row r="19" spans="2:5">
      <c r="B19" s="22" t="s">
        <v>109</v>
      </c>
      <c r="C19" s="9">
        <v>3</v>
      </c>
      <c r="D19" s="9"/>
      <c r="E19" s="9" t="s">
        <v>111</v>
      </c>
    </row>
    <row r="20" spans="2:5">
      <c r="B20" s="9" t="s">
        <v>48</v>
      </c>
      <c r="C20" s="9">
        <v>2</v>
      </c>
      <c r="D20" s="9"/>
      <c r="E20" s="9"/>
    </row>
    <row r="21" spans="2:5">
      <c r="B21" s="9" t="s">
        <v>51</v>
      </c>
      <c r="C21" s="9">
        <v>1</v>
      </c>
      <c r="D21" s="9"/>
      <c r="E21" s="9"/>
    </row>
    <row r="22" spans="2:5">
      <c r="B22" s="9" t="s">
        <v>53</v>
      </c>
      <c r="C22" s="9">
        <v>4</v>
      </c>
      <c r="D22" s="9"/>
      <c r="E22" s="9"/>
    </row>
    <row r="23" spans="2:5">
      <c r="B23" s="14" t="s">
        <v>54</v>
      </c>
      <c r="C23" s="14"/>
      <c r="D23" s="14"/>
      <c r="E23" s="14"/>
    </row>
    <row r="24" spans="2:5">
      <c r="B24" s="9" t="s">
        <v>37</v>
      </c>
      <c r="C24" s="9">
        <v>1</v>
      </c>
      <c r="D24" s="9"/>
      <c r="E24" s="9"/>
    </row>
    <row r="25" spans="2:5">
      <c r="B25" s="9" t="s">
        <v>38</v>
      </c>
      <c r="C25" s="9">
        <v>1</v>
      </c>
      <c r="D25" s="9"/>
      <c r="E25" s="9" t="s">
        <v>111</v>
      </c>
    </row>
    <row r="26" spans="2:5">
      <c r="B26" s="9" t="s">
        <v>39</v>
      </c>
      <c r="C26" s="9">
        <v>2</v>
      </c>
      <c r="D26" s="9"/>
      <c r="E26" s="9" t="s">
        <v>111</v>
      </c>
    </row>
    <row r="27" spans="2:5">
      <c r="B27" s="9" t="s">
        <v>42</v>
      </c>
      <c r="C27" s="9">
        <v>2</v>
      </c>
      <c r="D27" s="9"/>
      <c r="E27" s="9"/>
    </row>
    <row r="28" spans="2:5">
      <c r="B28" s="15" t="s">
        <v>106</v>
      </c>
      <c r="C28" s="15"/>
      <c r="D28" s="15"/>
      <c r="E28" s="15"/>
    </row>
    <row r="29" spans="2:5">
      <c r="B29" s="9" t="s">
        <v>107</v>
      </c>
      <c r="C29" s="9">
        <v>1</v>
      </c>
      <c r="D29" s="9"/>
      <c r="E29" s="9"/>
    </row>
    <row r="30" spans="2:5">
      <c r="B30" s="9" t="s">
        <v>108</v>
      </c>
      <c r="C30" s="9">
        <v>1</v>
      </c>
      <c r="D30" s="9"/>
      <c r="E30" s="9"/>
    </row>
    <row r="31" spans="2:5">
      <c r="B31" s="22" t="s">
        <v>109</v>
      </c>
      <c r="C31" s="9">
        <v>1</v>
      </c>
      <c r="D31" s="9"/>
      <c r="E31" s="9"/>
    </row>
    <row r="32" spans="2:5">
      <c r="B32" s="9" t="s">
        <v>48</v>
      </c>
      <c r="C32" s="9">
        <v>2</v>
      </c>
      <c r="D32" s="9"/>
      <c r="E32" s="9"/>
    </row>
    <row r="33" spans="2:5">
      <c r="B33" s="9" t="s">
        <v>51</v>
      </c>
      <c r="C33" s="9">
        <v>1</v>
      </c>
      <c r="D33" s="9"/>
      <c r="E33" s="9"/>
    </row>
    <row r="34" spans="2:5">
      <c r="B34" s="9" t="s">
        <v>53</v>
      </c>
      <c r="C34" s="9">
        <v>4</v>
      </c>
      <c r="D34" s="9"/>
      <c r="E34" s="9"/>
    </row>
    <row r="35" spans="2:5">
      <c r="B35" s="9" t="s">
        <v>55</v>
      </c>
      <c r="C35" s="9">
        <v>6</v>
      </c>
      <c r="D35" s="9"/>
      <c r="E35" s="9"/>
    </row>
    <row r="36" spans="2:5">
      <c r="B36" s="14" t="s">
        <v>60</v>
      </c>
      <c r="C36" s="14"/>
      <c r="D36" s="14"/>
      <c r="E36" s="14"/>
    </row>
    <row r="37" spans="2:5">
      <c r="B37" s="9" t="s">
        <v>61</v>
      </c>
      <c r="C37" s="9">
        <v>1</v>
      </c>
      <c r="D37" s="9"/>
      <c r="E37" s="9"/>
    </row>
    <row r="38" spans="2:5">
      <c r="B38" s="9" t="s">
        <v>62</v>
      </c>
      <c r="C38" s="9">
        <v>2</v>
      </c>
      <c r="D38" s="9"/>
      <c r="E38" s="9"/>
    </row>
    <row r="39" spans="2:5">
      <c r="B39" s="9" t="s">
        <v>63</v>
      </c>
      <c r="C39" s="9">
        <v>2</v>
      </c>
      <c r="D39" s="9"/>
      <c r="E39" s="9"/>
    </row>
    <row r="40" spans="2:5">
      <c r="B40" s="9" t="s">
        <v>64</v>
      </c>
      <c r="C40" s="9">
        <v>2</v>
      </c>
      <c r="D40" s="9"/>
      <c r="E40" s="9"/>
    </row>
    <row r="41" spans="2:5">
      <c r="B41" s="14" t="s">
        <v>65</v>
      </c>
      <c r="C41" s="14"/>
      <c r="D41" s="14"/>
      <c r="E41" s="14"/>
    </row>
    <row r="42" spans="2:5">
      <c r="B42" s="9" t="s">
        <v>66</v>
      </c>
      <c r="C42" s="9">
        <v>2</v>
      </c>
      <c r="D42" s="9"/>
      <c r="E42" s="9" t="s">
        <v>111</v>
      </c>
    </row>
    <row r="43" spans="2:5">
      <c r="B43" s="9" t="s">
        <v>67</v>
      </c>
      <c r="C43" s="9">
        <v>3</v>
      </c>
      <c r="D43" s="9"/>
      <c r="E43" s="9" t="s">
        <v>111</v>
      </c>
    </row>
    <row r="44" spans="2:5">
      <c r="B44" s="9" t="s">
        <v>68</v>
      </c>
      <c r="C44" s="9">
        <v>4</v>
      </c>
      <c r="D44" s="9"/>
      <c r="E44" s="9" t="s">
        <v>111</v>
      </c>
    </row>
    <row r="45" spans="2:5">
      <c r="B45" s="9" t="s">
        <v>69</v>
      </c>
      <c r="C45" s="9">
        <v>2</v>
      </c>
      <c r="D45" s="9"/>
      <c r="E45" s="9" t="s">
        <v>111</v>
      </c>
    </row>
    <row r="46" spans="2:5">
      <c r="B46" s="9" t="s">
        <v>72</v>
      </c>
      <c r="C46" s="9">
        <v>3</v>
      </c>
      <c r="D46" s="9"/>
      <c r="E46" s="9"/>
    </row>
    <row r="47" spans="2:5">
      <c r="B47" s="14" t="s">
        <v>83</v>
      </c>
      <c r="C47" s="14"/>
      <c r="D47" s="14"/>
      <c r="E47" s="14"/>
    </row>
    <row r="48" spans="2:5">
      <c r="B48" s="9" t="s">
        <v>84</v>
      </c>
      <c r="C48" s="9">
        <v>2</v>
      </c>
      <c r="D48" s="9"/>
      <c r="E48" s="9"/>
    </row>
    <row r="49" spans="2:5">
      <c r="B49" s="9" t="s">
        <v>87</v>
      </c>
      <c r="C49" s="9">
        <v>4</v>
      </c>
      <c r="D49" s="9"/>
      <c r="E49" s="9"/>
    </row>
    <row r="50" spans="2:5">
      <c r="B50" s="14" t="s">
        <v>89</v>
      </c>
      <c r="C50" s="14"/>
      <c r="D50" s="14"/>
      <c r="E50" s="14"/>
    </row>
    <row r="51" spans="2:5">
      <c r="B51" s="9" t="s">
        <v>91</v>
      </c>
      <c r="C51" s="9">
        <v>2</v>
      </c>
      <c r="D51" s="9"/>
      <c r="E51" s="9"/>
    </row>
    <row r="52" spans="2:5">
      <c r="B52" s="9" t="s">
        <v>92</v>
      </c>
      <c r="C52" s="9">
        <v>4</v>
      </c>
      <c r="D52" s="9"/>
      <c r="E52" s="9"/>
    </row>
    <row r="53" spans="2:5">
      <c r="B53" s="23" t="s">
        <v>93</v>
      </c>
      <c r="C53" s="23">
        <v>3</v>
      </c>
      <c r="D53" s="23"/>
      <c r="E53" s="23"/>
    </row>
    <row r="54" spans="2:5">
      <c r="B54" s="9" t="s">
        <v>94</v>
      </c>
      <c r="C54" s="9">
        <v>3</v>
      </c>
      <c r="D54" s="9"/>
      <c r="E54" s="9"/>
    </row>
    <row r="55" spans="2:5">
      <c r="B55" s="21" t="s">
        <v>110</v>
      </c>
      <c r="C55" s="5" t="s">
        <v>2</v>
      </c>
      <c r="D55" s="6" t="s">
        <v>3</v>
      </c>
      <c r="E55" s="7" t="s">
        <v>4</v>
      </c>
    </row>
    <row r="56" spans="2:5">
      <c r="B56" s="14" t="s">
        <v>13</v>
      </c>
      <c r="C56" s="14"/>
      <c r="D56" s="14"/>
      <c r="E56" s="14"/>
    </row>
    <row r="57" spans="2:5">
      <c r="B57" s="9" t="s">
        <v>15</v>
      </c>
      <c r="C57" s="9">
        <v>1</v>
      </c>
      <c r="D57" s="9"/>
      <c r="E57" s="9"/>
    </row>
    <row r="58" spans="2:5">
      <c r="B58" s="9" t="s">
        <v>17</v>
      </c>
      <c r="C58" s="9">
        <v>2</v>
      </c>
      <c r="D58" s="9"/>
      <c r="E58" s="9"/>
    </row>
    <row r="59" spans="2:5">
      <c r="B59" s="9" t="s">
        <v>18</v>
      </c>
      <c r="C59" s="9">
        <v>2</v>
      </c>
      <c r="D59" s="9"/>
      <c r="E59" s="9"/>
    </row>
    <row r="60" spans="2:5">
      <c r="B60" s="9" t="s">
        <v>19</v>
      </c>
      <c r="C60" s="9">
        <v>2</v>
      </c>
      <c r="D60" s="9"/>
      <c r="E60" s="9"/>
    </row>
    <row r="61" spans="2:5">
      <c r="B61" s="9" t="s">
        <v>20</v>
      </c>
      <c r="C61" s="9">
        <v>1</v>
      </c>
      <c r="D61" s="9"/>
      <c r="E61" s="9"/>
    </row>
    <row r="62" spans="2:5">
      <c r="B62" s="9" t="s">
        <v>21</v>
      </c>
      <c r="C62" s="9">
        <v>3</v>
      </c>
      <c r="D62" s="9"/>
      <c r="E62" s="9"/>
    </row>
    <row r="63" spans="2:5">
      <c r="B63" s="9" t="s">
        <v>22</v>
      </c>
      <c r="C63" s="9">
        <v>4</v>
      </c>
      <c r="D63" s="9"/>
      <c r="E63" s="9"/>
    </row>
    <row r="64" spans="2:5">
      <c r="B64" s="14" t="s">
        <v>102</v>
      </c>
      <c r="C64" s="14"/>
      <c r="D64" s="14"/>
      <c r="E64" s="14"/>
    </row>
    <row r="65" spans="2:7">
      <c r="B65" s="9" t="s">
        <v>103</v>
      </c>
      <c r="C65" s="9">
        <v>4</v>
      </c>
      <c r="D65" s="9"/>
      <c r="E65" s="9"/>
      <c r="G65" s="1"/>
    </row>
    <row r="66" spans="2:7">
      <c r="B66" s="9" t="s">
        <v>104</v>
      </c>
      <c r="C66" s="9">
        <v>4</v>
      </c>
      <c r="D66" s="9"/>
      <c r="E66" s="9"/>
      <c r="G66" s="1"/>
    </row>
    <row r="67" spans="2:7">
      <c r="B67" s="9" t="s">
        <v>105</v>
      </c>
      <c r="C67" s="9">
        <v>4</v>
      </c>
      <c r="D67" s="9"/>
      <c r="E67" s="9"/>
      <c r="G67" s="1"/>
    </row>
    <row r="68" spans="2:7">
      <c r="B68" s="14" t="s">
        <v>73</v>
      </c>
      <c r="C68" s="14"/>
      <c r="D68" s="14"/>
      <c r="E68" s="14"/>
      <c r="G68" s="1"/>
    </row>
    <row r="69" spans="2:7">
      <c r="B69" s="9" t="s">
        <v>74</v>
      </c>
      <c r="C69" s="9">
        <v>2</v>
      </c>
      <c r="D69" s="9"/>
      <c r="E69" s="9"/>
    </row>
    <row r="70" spans="2:7">
      <c r="B70" s="9" t="s">
        <v>75</v>
      </c>
      <c r="C70" s="9">
        <v>2</v>
      </c>
      <c r="D70" s="9"/>
      <c r="E70" s="9"/>
    </row>
    <row r="71" spans="2:7">
      <c r="B71" s="9" t="s">
        <v>76</v>
      </c>
      <c r="C71" s="9">
        <v>2</v>
      </c>
      <c r="D71" s="9"/>
      <c r="E71" s="9"/>
    </row>
    <row r="72" spans="2:7">
      <c r="B72" s="9" t="s">
        <v>77</v>
      </c>
      <c r="C72" s="9">
        <v>2</v>
      </c>
      <c r="D72" s="9"/>
      <c r="E72" s="9"/>
    </row>
    <row r="73" spans="2:7">
      <c r="B73" s="14" t="s">
        <v>78</v>
      </c>
      <c r="C73" s="14"/>
      <c r="D73" s="14"/>
      <c r="E73" s="14"/>
    </row>
    <row r="74" spans="2:7">
      <c r="B74" s="9" t="s">
        <v>79</v>
      </c>
      <c r="C74" s="9">
        <v>1</v>
      </c>
      <c r="D74" s="9"/>
      <c r="E74" s="9"/>
    </row>
    <row r="75" spans="2:7">
      <c r="B75" s="9" t="s">
        <v>80</v>
      </c>
      <c r="C75" s="9">
        <v>3</v>
      </c>
      <c r="D75" s="9"/>
      <c r="E75" s="9"/>
    </row>
    <row r="76" spans="2:7">
      <c r="B76" s="9" t="s">
        <v>81</v>
      </c>
      <c r="C76" s="9">
        <v>2</v>
      </c>
      <c r="D76" s="9"/>
      <c r="E76" s="9"/>
    </row>
    <row r="77" spans="2:7">
      <c r="B77" s="9" t="s">
        <v>82</v>
      </c>
      <c r="C77" s="9">
        <v>2</v>
      </c>
      <c r="D77" s="9"/>
      <c r="E77" s="9"/>
    </row>
    <row r="78" spans="2:7">
      <c r="B78" s="14" t="s">
        <v>95</v>
      </c>
      <c r="C78" s="14"/>
      <c r="D78" s="14"/>
      <c r="E78" s="14"/>
    </row>
    <row r="79" spans="2:7">
      <c r="B79" s="9" t="s">
        <v>96</v>
      </c>
      <c r="C79" s="9">
        <v>3</v>
      </c>
      <c r="D79" s="9"/>
      <c r="E79" s="9"/>
    </row>
    <row r="80" spans="2:7">
      <c r="B80" s="9" t="s">
        <v>97</v>
      </c>
      <c r="C80" s="9">
        <v>3</v>
      </c>
      <c r="D80" s="9"/>
      <c r="E80" s="9"/>
    </row>
    <row r="81" spans="2:5">
      <c r="B81" s="9" t="s">
        <v>98</v>
      </c>
      <c r="C81" s="9">
        <v>3</v>
      </c>
      <c r="D81" s="9"/>
      <c r="E81" s="9"/>
    </row>
    <row r="82" spans="2:5">
      <c r="B82" s="9" t="s">
        <v>99</v>
      </c>
      <c r="C82" s="9">
        <v>3</v>
      </c>
      <c r="D82" s="9"/>
      <c r="E82" s="9"/>
    </row>
    <row r="83" spans="2:5">
      <c r="B83" s="14" t="s">
        <v>100</v>
      </c>
      <c r="C83" s="14">
        <v>2</v>
      </c>
      <c r="D83" s="14"/>
      <c r="E83" s="14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opLeftCell="A56" zoomScaleNormal="100" workbookViewId="0">
      <selection activeCell="B2" sqref="B2:E83"/>
    </sheetView>
  </sheetViews>
  <sheetFormatPr defaultRowHeight="18.75"/>
  <cols>
    <col min="1" max="1" width="9.25" customWidth="1"/>
    <col min="2" max="2" width="37.75" bestFit="1" customWidth="1"/>
    <col min="4" max="4" width="12.625" customWidth="1"/>
    <col min="5" max="7" width="21" bestFit="1" customWidth="1"/>
    <col min="8" max="8" width="17.25" bestFit="1" customWidth="1"/>
    <col min="9" max="9" width="18.875" bestFit="1" customWidth="1"/>
    <col min="10" max="10" width="21.375" bestFit="1" customWidth="1"/>
    <col min="11" max="11" width="17.75" customWidth="1"/>
    <col min="13" max="13" width="19" customWidth="1"/>
  </cols>
  <sheetData>
    <row r="1" spans="1:12">
      <c r="A1" t="s">
        <v>0</v>
      </c>
    </row>
    <row r="2" spans="1:12">
      <c r="B2" s="4" t="s">
        <v>1</v>
      </c>
      <c r="C2" s="5" t="s">
        <v>2</v>
      </c>
      <c r="D2" s="6" t="s">
        <v>3</v>
      </c>
      <c r="E2" s="7" t="s">
        <v>4</v>
      </c>
      <c r="G2" s="13" t="s">
        <v>5</v>
      </c>
      <c r="H2">
        <f>SUM(C3:C83)</f>
        <v>0</v>
      </c>
    </row>
    <row r="3" spans="1:12">
      <c r="B3" s="8" t="s">
        <v>6</v>
      </c>
      <c r="C3" s="8"/>
      <c r="D3" s="8"/>
      <c r="E3" s="8"/>
      <c r="G3" s="14" t="s">
        <v>7</v>
      </c>
      <c r="H3">
        <f>SUMIF(E3:E83,"完了",C3:C83)</f>
        <v>0</v>
      </c>
      <c r="K3" t="s">
        <v>8</v>
      </c>
      <c r="L3" t="s">
        <v>9</v>
      </c>
    </row>
    <row r="4" spans="1:12">
      <c r="B4" s="9" t="s">
        <v>10</v>
      </c>
      <c r="C4" s="9"/>
      <c r="D4" s="9"/>
      <c r="E4" s="9"/>
      <c r="G4" s="15" t="s">
        <v>11</v>
      </c>
      <c r="H4" s="2">
        <f ca="1">NETWORKDAYS(H5,H6)</f>
        <v>488</v>
      </c>
      <c r="I4" t="s">
        <v>12</v>
      </c>
      <c r="J4" s="3">
        <f ca="1" xml:space="preserve"> H3 / H4</f>
        <v>0</v>
      </c>
      <c r="K4" s="2">
        <f ca="1">_xlfn.DAYS(H6,H5)</f>
        <v>681</v>
      </c>
      <c r="L4" s="3">
        <f ca="1">H3/K4</f>
        <v>0</v>
      </c>
    </row>
    <row r="5" spans="1:12">
      <c r="B5" s="9" t="s">
        <v>13</v>
      </c>
      <c r="C5" s="9"/>
      <c r="D5" s="9"/>
      <c r="E5" s="9"/>
      <c r="G5" s="16" t="s">
        <v>14</v>
      </c>
      <c r="H5" s="1">
        <f>DATE(2024,9,30)</f>
        <v>45565</v>
      </c>
    </row>
    <row r="6" spans="1:12">
      <c r="B6" s="9" t="s">
        <v>15</v>
      </c>
      <c r="C6" s="9"/>
      <c r="D6" s="9"/>
      <c r="E6" s="9"/>
      <c r="G6" s="17" t="s">
        <v>16</v>
      </c>
      <c r="H6" s="1">
        <f ca="1">TODAY()</f>
        <v>46246</v>
      </c>
    </row>
    <row r="7" spans="1:12">
      <c r="B7" s="10" t="s">
        <v>17</v>
      </c>
      <c r="C7" s="10"/>
      <c r="D7" s="10"/>
      <c r="E7" s="10"/>
    </row>
    <row r="8" spans="1:12">
      <c r="B8" s="8" t="s">
        <v>18</v>
      </c>
      <c r="C8" s="8"/>
      <c r="D8" s="8"/>
      <c r="E8" s="8"/>
    </row>
    <row r="9" spans="1:12">
      <c r="B9" s="8" t="s">
        <v>19</v>
      </c>
      <c r="C9" s="8"/>
      <c r="D9" s="8"/>
      <c r="E9" s="8"/>
    </row>
    <row r="10" spans="1:12">
      <c r="B10" s="8" t="s">
        <v>20</v>
      </c>
      <c r="C10" s="8"/>
      <c r="D10" s="8"/>
      <c r="E10" s="8"/>
    </row>
    <row r="11" spans="1:12">
      <c r="B11" s="8" t="s">
        <v>21</v>
      </c>
      <c r="C11" s="8"/>
      <c r="D11" s="8"/>
      <c r="E11" s="8"/>
    </row>
    <row r="12" spans="1:12">
      <c r="B12" s="10" t="s">
        <v>22</v>
      </c>
      <c r="C12" s="10"/>
      <c r="D12" s="10"/>
      <c r="E12" s="10"/>
      <c r="I12" t="s">
        <v>23</v>
      </c>
      <c r="J12" t="s">
        <v>24</v>
      </c>
      <c r="K12" t="s">
        <v>25</v>
      </c>
      <c r="L12" t="s">
        <v>26</v>
      </c>
    </row>
    <row r="13" spans="1:12">
      <c r="B13" s="9" t="s">
        <v>27</v>
      </c>
      <c r="C13" s="9"/>
      <c r="D13" s="9"/>
      <c r="E13" s="9"/>
      <c r="G13" s="13" t="s">
        <v>28</v>
      </c>
      <c r="H13" s="1">
        <f>DATE(2024,12,20)</f>
        <v>45646</v>
      </c>
      <c r="I13" s="2">
        <f ca="1">NETWORKDAYS(TODAY(),H13)</f>
        <v>-429</v>
      </c>
      <c r="J13" s="3">
        <f ca="1">($H$2 - $H$3) / I13</f>
        <v>0</v>
      </c>
      <c r="K13">
        <f ca="1">_xlfn.DAYS(H13,$H$6)</f>
        <v>-600</v>
      </c>
      <c r="L13" s="3">
        <f ca="1">($H$2 - $H$3) / K13</f>
        <v>0</v>
      </c>
    </row>
    <row r="14" spans="1:12">
      <c r="B14" s="9" t="s">
        <v>29</v>
      </c>
      <c r="C14" s="9"/>
      <c r="D14" s="9"/>
      <c r="E14" s="9"/>
      <c r="G14" s="18" t="s">
        <v>30</v>
      </c>
      <c r="H14" s="1">
        <f>DATE(2025,1,17)</f>
        <v>45674</v>
      </c>
      <c r="I14" s="2">
        <f t="shared" ref="I14:I15" ca="1" si="0">NETWORKDAYS(TODAY(),H14)</f>
        <v>-409</v>
      </c>
      <c r="J14" s="3">
        <f ca="1">($H$2 - $H$3) / I14</f>
        <v>0</v>
      </c>
      <c r="K14">
        <f t="shared" ref="K14:K15" ca="1" si="1">_xlfn.DAYS(H14,$H$6)</f>
        <v>-572</v>
      </c>
      <c r="L14" s="3">
        <f ca="1">($H$2 - $H$3) / K14</f>
        <v>0</v>
      </c>
    </row>
    <row r="15" spans="1:12">
      <c r="B15" s="9" t="s">
        <v>31</v>
      </c>
      <c r="C15" s="9"/>
      <c r="D15" s="9"/>
      <c r="E15" s="9"/>
      <c r="G15" s="19" t="s">
        <v>32</v>
      </c>
      <c r="H15" s="1">
        <f>DATE(2025,2,3)</f>
        <v>45691</v>
      </c>
      <c r="I15" s="2">
        <f t="shared" ca="1" si="0"/>
        <v>-398</v>
      </c>
      <c r="J15" s="3">
        <f ca="1">($H$2 - $H$3) / I15</f>
        <v>0</v>
      </c>
      <c r="K15">
        <f t="shared" ca="1" si="1"/>
        <v>-555</v>
      </c>
      <c r="L15" s="3">
        <f ca="1">($H$2 - $H$3) / K15</f>
        <v>0</v>
      </c>
    </row>
    <row r="16" spans="1:12">
      <c r="B16" s="9" t="s">
        <v>33</v>
      </c>
      <c r="C16" s="9"/>
      <c r="D16" s="9"/>
      <c r="E16" s="9"/>
      <c r="G16" s="20"/>
      <c r="H16" s="1"/>
      <c r="I16" s="2"/>
      <c r="J16" s="3"/>
      <c r="L16" s="3"/>
    </row>
    <row r="17" spans="2:5">
      <c r="B17" s="8" t="s">
        <v>34</v>
      </c>
      <c r="C17" s="8"/>
      <c r="D17" s="8"/>
      <c r="E17" s="8"/>
    </row>
    <row r="18" spans="2:5">
      <c r="B18" s="9" t="s">
        <v>35</v>
      </c>
      <c r="C18" s="9"/>
      <c r="D18" s="9"/>
      <c r="E18" s="9"/>
    </row>
    <row r="19" spans="2:5">
      <c r="B19" s="9" t="s">
        <v>36</v>
      </c>
      <c r="C19" s="9"/>
      <c r="D19" s="9"/>
      <c r="E19" s="9"/>
    </row>
    <row r="20" spans="2:5">
      <c r="B20" s="9" t="s">
        <v>37</v>
      </c>
      <c r="C20" s="9"/>
      <c r="D20" s="9"/>
      <c r="E20" s="9"/>
    </row>
    <row r="21" spans="2:5">
      <c r="B21" s="9" t="s">
        <v>38</v>
      </c>
      <c r="C21" s="9"/>
      <c r="D21" s="9"/>
      <c r="E21" s="9"/>
    </row>
    <row r="22" spans="2:5">
      <c r="B22" s="10" t="s">
        <v>39</v>
      </c>
      <c r="C22" s="10"/>
      <c r="D22" s="10"/>
      <c r="E22" s="10"/>
    </row>
    <row r="23" spans="2:5">
      <c r="B23" s="8" t="s">
        <v>40</v>
      </c>
      <c r="C23" s="8"/>
      <c r="D23" s="8"/>
      <c r="E23" s="8"/>
    </row>
    <row r="24" spans="2:5">
      <c r="B24" s="8" t="s">
        <v>41</v>
      </c>
      <c r="C24" s="8"/>
      <c r="D24" s="8"/>
      <c r="E24" s="8"/>
    </row>
    <row r="25" spans="2:5">
      <c r="B25" s="8" t="s">
        <v>42</v>
      </c>
      <c r="C25" s="8"/>
      <c r="D25" s="8"/>
      <c r="E25" s="8"/>
    </row>
    <row r="26" spans="2:5">
      <c r="B26" s="8" t="s">
        <v>43</v>
      </c>
      <c r="C26" s="8"/>
      <c r="D26" s="8"/>
      <c r="E26" s="8"/>
    </row>
    <row r="27" spans="2:5">
      <c r="B27" s="8" t="s">
        <v>44</v>
      </c>
      <c r="C27" s="8"/>
      <c r="D27" s="8"/>
      <c r="E27" s="8"/>
    </row>
    <row r="28" spans="2:5">
      <c r="B28" s="10" t="s">
        <v>45</v>
      </c>
      <c r="C28" s="10"/>
      <c r="D28" s="10"/>
      <c r="E28" s="10"/>
    </row>
    <row r="29" spans="2:5">
      <c r="B29" s="8" t="s">
        <v>46</v>
      </c>
      <c r="C29" s="8"/>
      <c r="D29" s="8"/>
      <c r="E29" s="8"/>
    </row>
    <row r="30" spans="2:5">
      <c r="B30" s="10" t="s">
        <v>47</v>
      </c>
      <c r="C30" s="10"/>
      <c r="D30" s="10"/>
      <c r="E30" s="10"/>
    </row>
    <row r="31" spans="2:5">
      <c r="B31" s="10" t="s">
        <v>48</v>
      </c>
      <c r="C31" s="10"/>
      <c r="D31" s="10"/>
      <c r="E31" s="10"/>
    </row>
    <row r="32" spans="2:5">
      <c r="B32" s="10" t="s">
        <v>49</v>
      </c>
      <c r="C32" s="10"/>
      <c r="D32" s="10"/>
      <c r="E32" s="10"/>
    </row>
    <row r="33" spans="2:5">
      <c r="B33" s="8" t="s">
        <v>50</v>
      </c>
      <c r="C33" s="8"/>
      <c r="D33" s="8"/>
      <c r="E33" s="8"/>
    </row>
    <row r="34" spans="2:5">
      <c r="B34" s="8" t="s">
        <v>51</v>
      </c>
      <c r="C34" s="8"/>
      <c r="D34" s="8"/>
      <c r="E34" s="8"/>
    </row>
    <row r="35" spans="2:5">
      <c r="B35" s="8" t="s">
        <v>52</v>
      </c>
      <c r="C35" s="8"/>
      <c r="D35" s="8"/>
      <c r="E35" s="8"/>
    </row>
    <row r="36" spans="2:5">
      <c r="B36" s="10" t="s">
        <v>53</v>
      </c>
      <c r="C36" s="10"/>
      <c r="D36" s="10"/>
      <c r="E36" s="10"/>
    </row>
    <row r="37" spans="2:5">
      <c r="B37" s="9" t="s">
        <v>54</v>
      </c>
      <c r="C37" s="9"/>
      <c r="D37" s="9"/>
      <c r="E37" s="9"/>
    </row>
    <row r="38" spans="2:5">
      <c r="B38" s="11" t="s">
        <v>55</v>
      </c>
      <c r="C38" s="11"/>
      <c r="D38" s="11"/>
      <c r="E38" s="11"/>
    </row>
    <row r="39" spans="2:5">
      <c r="B39" s="9" t="s">
        <v>56</v>
      </c>
      <c r="C39" s="9"/>
      <c r="D39" s="9"/>
      <c r="E39" s="9"/>
    </row>
    <row r="40" spans="2:5">
      <c r="B40" s="8" t="s">
        <v>57</v>
      </c>
      <c r="C40" s="8"/>
      <c r="D40" s="8"/>
      <c r="E40" s="8"/>
    </row>
    <row r="41" spans="2:5">
      <c r="B41" s="8" t="s">
        <v>58</v>
      </c>
      <c r="C41" s="8"/>
      <c r="D41" s="8"/>
      <c r="E41" s="8"/>
    </row>
    <row r="42" spans="2:5">
      <c r="B42" s="8" t="s">
        <v>59</v>
      </c>
      <c r="C42" s="8"/>
      <c r="D42" s="8"/>
      <c r="E42" s="8"/>
    </row>
    <row r="43" spans="2:5">
      <c r="B43" s="9" t="s">
        <v>60</v>
      </c>
      <c r="C43" s="9"/>
      <c r="D43" s="9"/>
      <c r="E43" s="9"/>
    </row>
    <row r="44" spans="2:5">
      <c r="B44" s="9" t="s">
        <v>61</v>
      </c>
      <c r="C44" s="9"/>
      <c r="D44" s="9"/>
      <c r="E44" s="9"/>
    </row>
    <row r="45" spans="2:5">
      <c r="B45" s="9" t="s">
        <v>62</v>
      </c>
      <c r="C45" s="9"/>
      <c r="D45" s="9"/>
      <c r="E45" s="9"/>
    </row>
    <row r="46" spans="2:5">
      <c r="B46" s="9" t="s">
        <v>63</v>
      </c>
      <c r="C46" s="9"/>
      <c r="D46" s="9"/>
      <c r="E46" s="9"/>
    </row>
    <row r="47" spans="2:5">
      <c r="B47" s="9" t="s">
        <v>64</v>
      </c>
      <c r="C47" s="9"/>
      <c r="D47" s="9"/>
      <c r="E47" s="9"/>
    </row>
    <row r="48" spans="2:5">
      <c r="B48" s="9" t="s">
        <v>65</v>
      </c>
      <c r="C48" s="9"/>
      <c r="D48" s="9"/>
      <c r="E48" s="9"/>
    </row>
    <row r="49" spans="2:5">
      <c r="B49" s="9" t="s">
        <v>66</v>
      </c>
      <c r="C49" s="9"/>
      <c r="D49" s="9"/>
      <c r="E49" s="9"/>
    </row>
    <row r="50" spans="2:5">
      <c r="B50" s="9" t="s">
        <v>67</v>
      </c>
      <c r="C50" s="9"/>
      <c r="D50" s="9"/>
      <c r="E50" s="9"/>
    </row>
    <row r="51" spans="2:5">
      <c r="B51" s="8" t="s">
        <v>68</v>
      </c>
      <c r="C51" s="8"/>
      <c r="D51" s="8"/>
      <c r="E51" s="8"/>
    </row>
    <row r="52" spans="2:5">
      <c r="B52" s="9" t="s">
        <v>69</v>
      </c>
      <c r="C52" s="9"/>
      <c r="D52" s="9"/>
      <c r="E52" s="9"/>
    </row>
    <row r="53" spans="2:5">
      <c r="B53" s="8" t="s">
        <v>70</v>
      </c>
      <c r="C53" s="8"/>
      <c r="D53" s="8"/>
      <c r="E53" s="8"/>
    </row>
    <row r="54" spans="2:5">
      <c r="B54" s="8" t="s">
        <v>71</v>
      </c>
      <c r="C54" s="8"/>
      <c r="D54" s="8"/>
      <c r="E54" s="8"/>
    </row>
    <row r="55" spans="2:5">
      <c r="B55" s="8" t="s">
        <v>72</v>
      </c>
      <c r="C55" s="8"/>
      <c r="D55" s="8"/>
      <c r="E55" s="8"/>
    </row>
    <row r="56" spans="2:5">
      <c r="B56" s="9" t="s">
        <v>73</v>
      </c>
      <c r="C56" s="9"/>
      <c r="D56" s="9"/>
      <c r="E56" s="9"/>
    </row>
    <row r="57" spans="2:5">
      <c r="B57" s="8" t="s">
        <v>74</v>
      </c>
      <c r="C57" s="8"/>
      <c r="D57" s="8"/>
      <c r="E57" s="8"/>
    </row>
    <row r="58" spans="2:5">
      <c r="B58" s="8" t="s">
        <v>75</v>
      </c>
      <c r="C58" s="8"/>
      <c r="D58" s="8"/>
      <c r="E58" s="8"/>
    </row>
    <row r="59" spans="2:5">
      <c r="B59" s="8" t="s">
        <v>76</v>
      </c>
      <c r="C59" s="8"/>
      <c r="D59" s="8"/>
      <c r="E59" s="8"/>
    </row>
    <row r="60" spans="2:5">
      <c r="B60" s="8" t="s">
        <v>77</v>
      </c>
      <c r="C60" s="8"/>
      <c r="D60" s="8"/>
      <c r="E60" s="8"/>
    </row>
    <row r="61" spans="2:5">
      <c r="B61" s="9" t="s">
        <v>78</v>
      </c>
      <c r="C61" s="9"/>
      <c r="D61" s="9"/>
      <c r="E61" s="9"/>
    </row>
    <row r="62" spans="2:5">
      <c r="B62" s="8" t="s">
        <v>79</v>
      </c>
      <c r="C62" s="8"/>
      <c r="D62" s="8"/>
      <c r="E62" s="8"/>
    </row>
    <row r="63" spans="2:5">
      <c r="B63" s="8" t="s">
        <v>80</v>
      </c>
      <c r="C63" s="8"/>
      <c r="D63" s="8"/>
      <c r="E63" s="8"/>
    </row>
    <row r="64" spans="2:5">
      <c r="B64" s="8" t="s">
        <v>81</v>
      </c>
      <c r="C64" s="8"/>
      <c r="D64" s="8"/>
      <c r="E64" s="8"/>
    </row>
    <row r="65" spans="2:7">
      <c r="B65" s="8" t="s">
        <v>82</v>
      </c>
      <c r="C65" s="8"/>
      <c r="D65" s="8"/>
      <c r="E65" s="8"/>
      <c r="G65" s="1"/>
    </row>
    <row r="66" spans="2:7">
      <c r="B66" s="9" t="s">
        <v>83</v>
      </c>
      <c r="C66" s="9"/>
      <c r="D66" s="9"/>
      <c r="E66" s="9"/>
      <c r="G66" s="1"/>
    </row>
    <row r="67" spans="2:7">
      <c r="B67" s="8" t="s">
        <v>84</v>
      </c>
      <c r="C67" s="8"/>
      <c r="D67" s="8"/>
      <c r="E67" s="8"/>
      <c r="G67" s="1"/>
    </row>
    <row r="68" spans="2:7">
      <c r="B68" s="8" t="s">
        <v>85</v>
      </c>
      <c r="C68" s="8"/>
      <c r="D68" s="8"/>
      <c r="E68" s="8"/>
      <c r="G68" s="1"/>
    </row>
    <row r="69" spans="2:7">
      <c r="B69" s="8" t="s">
        <v>86</v>
      </c>
      <c r="C69" s="8"/>
      <c r="D69" s="8"/>
      <c r="E69" s="8"/>
    </row>
    <row r="70" spans="2:7">
      <c r="B70" s="8" t="s">
        <v>87</v>
      </c>
      <c r="C70" s="8"/>
      <c r="D70" s="8"/>
      <c r="E70" s="8"/>
    </row>
    <row r="71" spans="2:7">
      <c r="B71" s="8" t="s">
        <v>88</v>
      </c>
      <c r="C71" s="8"/>
      <c r="D71" s="8"/>
      <c r="E71" s="8"/>
    </row>
    <row r="72" spans="2:7">
      <c r="B72" s="9" t="s">
        <v>89</v>
      </c>
      <c r="C72" s="9"/>
      <c r="D72" s="9"/>
      <c r="E72" s="9"/>
    </row>
    <row r="73" spans="2:7">
      <c r="B73" s="8" t="s">
        <v>90</v>
      </c>
      <c r="C73" s="8"/>
      <c r="D73" s="8"/>
      <c r="E73" s="8"/>
    </row>
    <row r="74" spans="2:7">
      <c r="B74" s="8" t="s">
        <v>91</v>
      </c>
      <c r="C74" s="8"/>
      <c r="D74" s="8"/>
      <c r="E74" s="8"/>
    </row>
    <row r="75" spans="2:7">
      <c r="B75" s="8" t="s">
        <v>92</v>
      </c>
      <c r="C75" s="8"/>
      <c r="D75" s="8"/>
      <c r="E75" s="8"/>
    </row>
    <row r="76" spans="2:7">
      <c r="B76" s="12" t="s">
        <v>93</v>
      </c>
      <c r="C76" s="12"/>
      <c r="D76" s="12"/>
      <c r="E76" s="12"/>
    </row>
    <row r="77" spans="2:7">
      <c r="B77" s="10" t="s">
        <v>94</v>
      </c>
      <c r="C77" s="10"/>
      <c r="D77" s="10"/>
      <c r="E77" s="10"/>
    </row>
    <row r="78" spans="2:7">
      <c r="B78" s="9" t="s">
        <v>95</v>
      </c>
      <c r="C78" s="9"/>
      <c r="D78" s="9"/>
      <c r="E78" s="9"/>
    </row>
    <row r="79" spans="2:7">
      <c r="B79" s="8" t="s">
        <v>96</v>
      </c>
      <c r="C79" s="8"/>
      <c r="D79" s="8"/>
      <c r="E79" s="8"/>
    </row>
    <row r="80" spans="2:7">
      <c r="B80" s="8" t="s">
        <v>97</v>
      </c>
      <c r="C80" s="8"/>
      <c r="D80" s="8"/>
      <c r="E80" s="8"/>
    </row>
    <row r="81" spans="2:5">
      <c r="B81" s="10" t="s">
        <v>98</v>
      </c>
      <c r="C81" s="10"/>
      <c r="D81" s="10"/>
      <c r="E81" s="10"/>
    </row>
    <row r="82" spans="2:5">
      <c r="B82" s="8" t="s">
        <v>99</v>
      </c>
      <c r="C82" s="8"/>
      <c r="D82" s="8"/>
      <c r="E82" s="8"/>
    </row>
    <row r="83" spans="2:5">
      <c r="B83" s="8" t="s">
        <v>100</v>
      </c>
      <c r="C83" s="8"/>
      <c r="D83" s="8"/>
      <c r="E83" s="8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F01F-10D1-4BF5-9C6C-60151D507FC9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6D42E3690EEE418172DBF4B6395129" ma:contentTypeVersion="32" ma:contentTypeDescription="新しいドキュメントを作成します。" ma:contentTypeScope="" ma:versionID="2bec52062c397840dce5bfa38caf7040">
  <xsd:schema xmlns:xsd="http://www.w3.org/2001/XMLSchema" xmlns:xs="http://www.w3.org/2001/XMLSchema" xmlns:p="http://schemas.microsoft.com/office/2006/metadata/properties" xmlns:ns2="c7208212-5067-493a-8683-cc3386cb0efe" xmlns:ns3="b9cacb4e-8c24-4bf7-a627-1f291d6d2a9f" targetNamespace="http://schemas.microsoft.com/office/2006/metadata/properties" ma:root="true" ma:fieldsID="662986cd6941c04829d5352220b24469" ns2:_="" ns3:_="">
    <xsd:import namespace="c7208212-5067-493a-8683-cc3386cb0efe"/>
    <xsd:import namespace="b9cacb4e-8c24-4bf7-a627-1f291d6d2a9f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08212-5067-493a-8683-cc3386cb0efe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acb4e-8c24-4bf7-a627-1f291d6d2a9f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2c9f21eb-f969-4277-88ee-e20d93da4b04}" ma:internalName="TaxCatchAll" ma:showField="CatchAllData" ma:web="b9cacb4e-8c24-4bf7-a627-1f291d6d2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cacb4e-8c24-4bf7-a627-1f291d6d2a9f" xsi:nil="true"/>
    <lcf76f155ced4ddcb4097134ff3c332f xmlns="c7208212-5067-493a-8683-cc3386cb0efe">
      <Terms xmlns="http://schemas.microsoft.com/office/infopath/2007/PartnerControls"/>
    </lcf76f155ced4ddcb4097134ff3c332f>
    <TeamsChannelId xmlns="c7208212-5067-493a-8683-cc3386cb0efe" xsi:nil="true"/>
    <Self_Registration_Enabled xmlns="c7208212-5067-493a-8683-cc3386cb0efe" xsi:nil="true"/>
    <Invited_Students xmlns="c7208212-5067-493a-8683-cc3386cb0efe" xsi:nil="true"/>
    <Math_Settings xmlns="c7208212-5067-493a-8683-cc3386cb0efe" xsi:nil="true"/>
    <FolderType xmlns="c7208212-5067-493a-8683-cc3386cb0efe" xsi:nil="true"/>
    <Owner xmlns="c7208212-5067-493a-8683-cc3386cb0efe">
      <UserInfo>
        <DisplayName/>
        <AccountId xsi:nil="true"/>
        <AccountType/>
      </UserInfo>
    </Owner>
    <Teachers xmlns="c7208212-5067-493a-8683-cc3386cb0efe">
      <UserInfo>
        <DisplayName/>
        <AccountId xsi:nil="true"/>
        <AccountType/>
      </UserInfo>
    </Teachers>
    <Students xmlns="c7208212-5067-493a-8683-cc3386cb0efe">
      <UserInfo>
        <DisplayName/>
        <AccountId xsi:nil="true"/>
        <AccountType/>
      </UserInfo>
    </Students>
    <Student_Groups xmlns="c7208212-5067-493a-8683-cc3386cb0efe">
      <UserInfo>
        <DisplayName/>
        <AccountId xsi:nil="true"/>
        <AccountType/>
      </UserInfo>
    </Student_Groups>
    <LMS_Mappings xmlns="c7208212-5067-493a-8683-cc3386cb0efe" xsi:nil="true"/>
    <IsNotebookLocked xmlns="c7208212-5067-493a-8683-cc3386cb0efe" xsi:nil="true"/>
    <NotebookType xmlns="c7208212-5067-493a-8683-cc3386cb0efe" xsi:nil="true"/>
    <CultureName xmlns="c7208212-5067-493a-8683-cc3386cb0efe" xsi:nil="true"/>
    <AppVersion xmlns="c7208212-5067-493a-8683-cc3386cb0efe" xsi:nil="true"/>
    <Invited_Teachers xmlns="c7208212-5067-493a-8683-cc3386cb0efe" xsi:nil="true"/>
    <DefaultSectionNames xmlns="c7208212-5067-493a-8683-cc3386cb0efe" xsi:nil="true"/>
    <Is_Collaboration_Space_Locked xmlns="c7208212-5067-493a-8683-cc3386cb0efe" xsi:nil="true"/>
    <Teams_Channel_Section_Location xmlns="c7208212-5067-493a-8683-cc3386cb0efe" xsi:nil="true"/>
    <Templates xmlns="c7208212-5067-493a-8683-cc3386cb0efe" xsi:nil="true"/>
    <Has_Teacher_Only_SectionGroup xmlns="c7208212-5067-493a-8683-cc3386cb0efe" xsi:nil="true"/>
    <Distribution_Groups xmlns="c7208212-5067-493a-8683-cc3386cb0efe" xsi:nil="true"/>
  </documentManagement>
</p:properties>
</file>

<file path=customXml/itemProps1.xml><?xml version="1.0" encoding="utf-8"?>
<ds:datastoreItem xmlns:ds="http://schemas.openxmlformats.org/officeDocument/2006/customXml" ds:itemID="{393EE603-C983-481A-9007-FE0C7A6F70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F2F9FC-3A71-42D2-842A-D0923E27A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208212-5067-493a-8683-cc3386cb0efe"/>
    <ds:schemaRef ds:uri="b9cacb4e-8c24-4bf7-a627-1f291d6d2a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D2B120-A90D-496C-8884-A2A9574072D6}">
  <ds:schemaRefs>
    <ds:schemaRef ds:uri="http://schemas.microsoft.com/office/2006/metadata/properties"/>
    <ds:schemaRef ds:uri="http://schemas.microsoft.com/office/infopath/2007/PartnerControls"/>
    <ds:schemaRef ds:uri="b9cacb4e-8c24-4bf7-a627-1f291d6d2a9f"/>
    <ds:schemaRef ds:uri="c7208212-5067-493a-8683-cc3386cb0e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プロト</vt:lpstr>
      <vt:lpstr>アルファ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麻生　大翔</cp:lastModifiedBy>
  <cp:revision/>
  <dcterms:created xsi:type="dcterms:W3CDTF">2015-06-05T18:19:34Z</dcterms:created>
  <dcterms:modified xsi:type="dcterms:W3CDTF">2026-08-12T15:09:34Z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0x010100916D42E3690EEE418172DBF4B6395129</vt:lpwstr>
  </property>
  <property fmtid="{D5CDD505-2E9C-101B-9397-08002B2CF9AE}" pid="3" name="MediaServiceImageTags">
    <vt:lpwstr/>
  </property>
</Properties>
</file>